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filterPrivacy="1" codeName="ThisWorkbook"/>
  <xr:revisionPtr revIDLastSave="0" documentId="13_ncr:1_{29E6A6E8-646D-1140-BE34-7ADA51E54122}" xr6:coauthVersionLast="47" xr6:coauthVersionMax="47" xr10:uidLastSave="{00000000-0000-0000-0000-000000000000}"/>
  <bookViews>
    <workbookView xWindow="0" yWindow="600" windowWidth="51200" windowHeight="28200" xr2:uid="{00000000-000D-0000-FFFF-FFFF00000000}"/>
  </bookViews>
  <sheets>
    <sheet name="ProjectSchedule" sheetId="11" r:id="rId1"/>
    <sheet name="About" sheetId="12" r:id="rId2"/>
  </sheets>
  <definedNames>
    <definedName name="Display_Week">ProjectSchedule!$E$5</definedName>
    <definedName name="_xlnm.Print_Titles" localSheetId="0">ProjectSchedule!$5:$7</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1" l="1"/>
  <c r="F17" i="11" s="1"/>
  <c r="E18" i="11"/>
  <c r="F18" i="11" s="1"/>
  <c r="E19" i="11"/>
  <c r="F19" i="11" s="1"/>
  <c r="E20" i="11"/>
  <c r="F20" i="11" s="1"/>
  <c r="E22" i="11" s="1"/>
  <c r="F22" i="11" s="1"/>
  <c r="E23" i="11" s="1"/>
  <c r="E16" i="11"/>
  <c r="F16" i="11" s="1"/>
  <c r="E14" i="11"/>
  <c r="F14" i="11" s="1"/>
  <c r="E13" i="11"/>
  <c r="F13" i="11" s="1"/>
  <c r="E12" i="11"/>
  <c r="F12" i="11" s="1"/>
  <c r="E10" i="11"/>
  <c r="F10" i="11" s="1"/>
  <c r="E11" i="11"/>
  <c r="F11" i="11" s="1"/>
  <c r="E24" i="11" l="1"/>
  <c r="F23" i="11"/>
  <c r="E26" i="11"/>
  <c r="F26" i="11" s="1"/>
  <c r="H8" i="11"/>
  <c r="F24" i="11" l="1"/>
  <c r="E25" i="11"/>
  <c r="F25" i="11" s="1"/>
  <c r="I6" i="11"/>
  <c r="H28" i="11"/>
  <c r="H27" i="11"/>
  <c r="H21" i="11"/>
  <c r="H15" i="11"/>
  <c r="H9" i="11"/>
  <c r="H10" i="11" l="1"/>
  <c r="I7" i="11"/>
  <c r="H11" i="11" l="1"/>
  <c r="J6" i="11"/>
  <c r="K6" i="11" s="1"/>
  <c r="L6" i="11" s="1"/>
  <c r="M6" i="11" s="1"/>
  <c r="N6" i="11" s="1"/>
  <c r="O6" i="11" s="1"/>
  <c r="P6" i="11" s="1"/>
  <c r="I5" i="11"/>
  <c r="H14" i="11" l="1"/>
  <c r="H12" i="11"/>
  <c r="H13" i="11"/>
  <c r="P5" i="11"/>
  <c r="Q6" i="11"/>
  <c r="R6" i="11" s="1"/>
  <c r="S6" i="11" s="1"/>
  <c r="T6" i="11" s="1"/>
  <c r="U6" i="11" s="1"/>
  <c r="V6" i="11" s="1"/>
  <c r="W6" i="11" s="1"/>
  <c r="J7" i="11"/>
  <c r="H16" i="11" l="1"/>
  <c r="W5" i="11"/>
  <c r="X6" i="11"/>
  <c r="Y6" i="11" s="1"/>
  <c r="Z6" i="11" s="1"/>
  <c r="AA6" i="11" s="1"/>
  <c r="AB6" i="11" s="1"/>
  <c r="AC6" i="11" s="1"/>
  <c r="AD6" i="11" s="1"/>
  <c r="K7" i="11"/>
  <c r="H17" i="11" l="1"/>
  <c r="AE6" i="11"/>
  <c r="AF6" i="11" s="1"/>
  <c r="AG6" i="11" s="1"/>
  <c r="AH6" i="11" s="1"/>
  <c r="AI6" i="11" s="1"/>
  <c r="AJ6" i="11" s="1"/>
  <c r="AD5" i="11"/>
  <c r="L7" i="11"/>
  <c r="H18" i="11" l="1"/>
  <c r="AK6" i="11"/>
  <c r="AL6" i="11" s="1"/>
  <c r="AM6" i="11" s="1"/>
  <c r="AN6" i="11" s="1"/>
  <c r="AO6" i="11" s="1"/>
  <c r="AP6" i="11" s="1"/>
  <c r="AQ6" i="11" s="1"/>
  <c r="M7" i="11"/>
  <c r="H19" i="11" l="1"/>
  <c r="AR6" i="11"/>
  <c r="AS6" i="11" s="1"/>
  <c r="AK5" i="11"/>
  <c r="N7" i="11"/>
  <c r="AT6" i="11" l="1"/>
  <c r="AS7" i="11"/>
  <c r="AR5" i="11"/>
  <c r="O7" i="11"/>
  <c r="H20" i="11" l="1"/>
  <c r="AU6" i="11"/>
  <c r="AT7" i="11"/>
  <c r="H22" i="11" l="1"/>
  <c r="H23" i="11"/>
  <c r="AV6" i="11"/>
  <c r="AU7" i="11"/>
  <c r="P7" i="11"/>
  <c r="Q7" i="11"/>
  <c r="H26" i="11" l="1"/>
  <c r="H24" i="11"/>
  <c r="AW6" i="11"/>
  <c r="AV7" i="11"/>
  <c r="R7" i="11"/>
  <c r="H25" i="11" l="1"/>
  <c r="AX6" i="11"/>
  <c r="AY6" i="11" s="1"/>
  <c r="AW7" i="11"/>
  <c r="S7" i="11"/>
  <c r="AY7" i="11" l="1"/>
  <c r="AZ6" i="11"/>
  <c r="AY5" i="11"/>
  <c r="AX7" i="11"/>
  <c r="T7" i="11"/>
  <c r="BA6" i="11" l="1"/>
  <c r="AZ7" i="11"/>
  <c r="U7" i="11"/>
  <c r="BA7" i="11" l="1"/>
  <c r="BB6" i="11"/>
  <c r="V7" i="11"/>
  <c r="BB7" i="11" l="1"/>
  <c r="BC6" i="11"/>
  <c r="W7" i="11"/>
  <c r="BC7" i="11" l="1"/>
  <c r="BD6" i="11"/>
  <c r="X7" i="11"/>
  <c r="BE6" i="11" l="1"/>
  <c r="BD7" i="11"/>
  <c r="Y7" i="11"/>
  <c r="BE7" i="11" l="1"/>
  <c r="BF6" i="11"/>
  <c r="Z7" i="11"/>
  <c r="BF7" i="11" l="1"/>
  <c r="BG6" i="11"/>
  <c r="BF5" i="11"/>
  <c r="AA7" i="11"/>
  <c r="BG7" i="11" l="1"/>
  <c r="BH6" i="11"/>
  <c r="AB7" i="11"/>
  <c r="BI6" i="11" l="1"/>
  <c r="BH7" i="11"/>
  <c r="AC7" i="11"/>
  <c r="BJ6" i="11" l="1"/>
  <c r="BI7" i="11"/>
  <c r="AD7" i="11"/>
  <c r="BK6" i="11" l="1"/>
  <c r="BJ7" i="11"/>
  <c r="AE7" i="11"/>
  <c r="BL6" i="11" l="1"/>
  <c r="BM6" i="11" s="1"/>
  <c r="BK7" i="11"/>
  <c r="AF7" i="11"/>
  <c r="BN6" i="11" l="1"/>
  <c r="BM7" i="11"/>
  <c r="BM5" i="11"/>
  <c r="BL7" i="11"/>
  <c r="AG7" i="11"/>
  <c r="BO6" i="11" l="1"/>
  <c r="BN7" i="11"/>
  <c r="AH7" i="11"/>
  <c r="BP6" i="11" l="1"/>
  <c r="BO7" i="11"/>
  <c r="AI7" i="11"/>
  <c r="BQ6" i="11" l="1"/>
  <c r="BP7" i="11"/>
  <c r="AJ7" i="11"/>
  <c r="BR6" i="11" l="1"/>
  <c r="BQ7" i="11"/>
  <c r="AK7" i="11"/>
  <c r="BR7" i="11" l="1"/>
  <c r="BS6" i="11"/>
  <c r="AL7" i="11"/>
  <c r="BS7" i="11" l="1"/>
  <c r="BT6" i="11"/>
  <c r="AM7" i="11"/>
  <c r="BU6" i="11" l="1"/>
  <c r="BT5" i="11"/>
  <c r="BT7" i="11"/>
  <c r="AN7" i="11"/>
  <c r="BV6" i="11" l="1"/>
  <c r="BU7" i="11"/>
  <c r="AO7" i="11"/>
  <c r="BV7" i="11" l="1"/>
  <c r="BW6" i="11"/>
  <c r="AP7" i="11"/>
  <c r="BW7" i="11" l="1"/>
  <c r="BX6" i="11"/>
  <c r="AQ7" i="11"/>
  <c r="BY6" i="11" l="1"/>
  <c r="BX7" i="11"/>
  <c r="AR7" i="11"/>
  <c r="BY7" i="11" l="1"/>
  <c r="BZ6" i="11"/>
  <c r="BZ7" i="11" l="1"/>
  <c r="CA6" i="11"/>
  <c r="CA7" i="11" l="1"/>
  <c r="CB6" i="11"/>
  <c r="CA5" i="11"/>
  <c r="CC6" i="11" l="1"/>
  <c r="CB7" i="11"/>
  <c r="CC7" i="11" l="1"/>
  <c r="CD6" i="11"/>
  <c r="CD7" i="11" l="1"/>
  <c r="CE6" i="11"/>
  <c r="CF6" i="11" l="1"/>
  <c r="CE7" i="11"/>
  <c r="CG6" i="11" l="1"/>
  <c r="CF7" i="11"/>
  <c r="CG7" i="11" l="1"/>
  <c r="CH6" i="11"/>
  <c r="CH7" i="11" l="1"/>
  <c r="CI6" i="11"/>
  <c r="CH5" i="11"/>
  <c r="CJ6" i="11" l="1"/>
  <c r="CI7" i="11"/>
  <c r="CJ7" i="11" l="1"/>
  <c r="CK6" i="11"/>
  <c r="CK7" i="11" l="1"/>
  <c r="CL6" i="11"/>
  <c r="CM6" i="11" l="1"/>
  <c r="CL7" i="11"/>
  <c r="CM7" i="11" l="1"/>
  <c r="CN6" i="11"/>
  <c r="CN7" i="11" l="1"/>
  <c r="CO6" i="11"/>
  <c r="CO7" i="11" l="1"/>
  <c r="CP6" i="11"/>
  <c r="CO5" i="11"/>
  <c r="CP7" i="11" l="1"/>
  <c r="CQ6" i="11"/>
  <c r="CR6" i="11" l="1"/>
  <c r="CQ7" i="11"/>
  <c r="CR7" i="11" l="1"/>
  <c r="CS6" i="11"/>
  <c r="CT6" i="11" l="1"/>
  <c r="CS7" i="11"/>
  <c r="CT7" i="11" l="1"/>
  <c r="CU6" i="11"/>
  <c r="CU7" i="11" l="1"/>
  <c r="CV6" i="11"/>
  <c r="CV7" i="11" l="1"/>
  <c r="CW6" i="11"/>
  <c r="CV5" i="11"/>
  <c r="CW7" i="11" l="1"/>
  <c r="CX6" i="11"/>
  <c r="CX7" i="11" l="1"/>
  <c r="CY6" i="11"/>
  <c r="CZ6" i="11" l="1"/>
  <c r="CY7" i="11"/>
  <c r="CZ7" i="11" l="1"/>
  <c r="DA6" i="11"/>
  <c r="DA7" i="11" l="1"/>
  <c r="DB6" i="11"/>
  <c r="DB7" i="11" l="1"/>
  <c r="DC6" i="11"/>
  <c r="DC7" i="11" l="1"/>
  <c r="DD6" i="11"/>
  <c r="DC5" i="11"/>
  <c r="DE6" i="11" l="1"/>
  <c r="DD7" i="11"/>
  <c r="DF6" i="11" l="1"/>
  <c r="DE7" i="11"/>
  <c r="DF7" i="11" l="1"/>
  <c r="DG6" i="11"/>
  <c r="DH6" i="11" l="1"/>
  <c r="DG7" i="11"/>
  <c r="DI6" i="11" l="1"/>
  <c r="DH7" i="11"/>
  <c r="DI7" i="11" l="1"/>
  <c r="DJ6" i="11"/>
  <c r="DK6" i="11" l="1"/>
  <c r="DJ7" i="11"/>
  <c r="DJ5" i="11"/>
  <c r="DL6" i="11" l="1"/>
  <c r="DK7" i="11"/>
  <c r="DL7" i="11" l="1"/>
  <c r="DM6" i="11"/>
  <c r="DM7" i="11" l="1"/>
  <c r="DN6" i="11"/>
  <c r="DO6" i="11" l="1"/>
  <c r="DN7" i="11"/>
  <c r="DP6" i="11" l="1"/>
  <c r="DO7" i="11"/>
  <c r="DP7" i="11" l="1"/>
  <c r="DQ6" i="11"/>
  <c r="DR6" i="11" l="1"/>
  <c r="DQ7" i="11"/>
  <c r="DQ5" i="11"/>
  <c r="DS6" i="11" l="1"/>
  <c r="DR7" i="11"/>
  <c r="DT6" i="11" l="1"/>
  <c r="DS7" i="11"/>
  <c r="DU6" i="11" l="1"/>
  <c r="DT7" i="11"/>
  <c r="DV6" i="11" l="1"/>
  <c r="DU7" i="11"/>
  <c r="DV7" i="11" l="1"/>
  <c r="DW6" i="11"/>
  <c r="DW7" i="11" s="1"/>
</calcChain>
</file>

<file path=xl/sharedStrings.xml><?xml version="1.0" encoding="utf-8"?>
<sst xmlns="http://schemas.openxmlformats.org/spreadsheetml/2006/main" count="75" uniqueCount="63">
  <si>
    <t>Project Start:</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</si>
  <si>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</si>
  <si>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</si>
  <si>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</si>
  <si>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</si>
  <si>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</si>
  <si>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</si>
  <si>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</si>
  <si>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</si>
  <si>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</si>
  <si>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</si>
  <si>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</si>
  <si>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</si>
  <si>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</si>
  <si>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</si>
  <si>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</si>
  <si>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</si>
  <si>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</si>
  <si>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</si>
  <si>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</si>
  <si>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</si>
  <si>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</si>
  <si>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</si>
  <si>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</si>
  <si>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This is an empty row</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</si>
  <si>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</si>
  <si>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</si>
  <si>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</si>
  <si>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</si>
  <si>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</si>
  <si>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</si>
  <si>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</si>
  <si>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</si>
  <si>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</si>
  <si>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</si>
  <si>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PROGRESS (mentor)</t>
  </si>
  <si>
    <t>Responsible person</t>
  </si>
  <si>
    <t>Project Finish</t>
  </si>
  <si>
    <t>MKK</t>
  </si>
  <si>
    <t>Produkto vystymo veiklų planas</t>
  </si>
  <si>
    <t>Visi</t>
  </si>
  <si>
    <t xml:space="preserve">Testavimas </t>
  </si>
  <si>
    <t>Vartotojų testavimas</t>
  </si>
  <si>
    <t>Produkto pristatymas</t>
  </si>
  <si>
    <t>Atliktos apklausos analizė</t>
  </si>
  <si>
    <t>Kūrimo aplinkos konfigūracija</t>
  </si>
  <si>
    <t>Pasiskirstymas techniniais darbais</t>
  </si>
  <si>
    <t>Technologijos veikimo principo analizė</t>
  </si>
  <si>
    <t>Dizaino aptarimas</t>
  </si>
  <si>
    <t>Koncepcijos plėtojimas</t>
  </si>
  <si>
    <t>Produkto vystymas</t>
  </si>
  <si>
    <t>Svetainės kūrimas</t>
  </si>
  <si>
    <t>API kūrimas</t>
  </si>
  <si>
    <t>Valdiklio programavimas</t>
  </si>
  <si>
    <t>Valdiklio kūrimas</t>
  </si>
  <si>
    <t>Turinio kūrimas</t>
  </si>
  <si>
    <t>Ataskaitų sudarymas</t>
  </si>
  <si>
    <t>Produkto pristatymo parengimas</t>
  </si>
  <si>
    <t>Patobulinimai</t>
  </si>
  <si>
    <t>Tautrimas</t>
  </si>
  <si>
    <t>Jogailė</t>
  </si>
  <si>
    <t>Aistis</t>
  </si>
  <si>
    <t>Justė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</si>
</sst>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sz val="11"/>
      <color rgb="FFFF0000"/>
      <name val="Calibri"/>
      <family val="2"/>
      <scheme val="minor"/>
    </font>
    <font>
      <sz val="14"/>
      <color rgb="FFFF0000"/>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5" tint="0.79998168889431442"/>
        <bgColor rgb="FF000000"/>
      </patternFill>
    </fill>
    <fill>
      <patternFill patternType="solid">
        <fgColor theme="6" tint="0.79998168889431442"/>
        <bgColor rgb="FF000000"/>
      </patternFill>
    </fill>
    <fill>
      <patternFill patternType="solid">
        <fgColor theme="0"/>
        <bgColor indexed="64"/>
      </patternFill>
    </fill>
  </fills>
  <borders count="14">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right/>
      <top style="medium">
        <color rgb="FFD9D9D9"/>
      </top>
      <bottom style="medium">
        <color rgb="FFD9D9D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164"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6" fontId="7" fillId="0" borderId="3">
      <alignment horizontal="center" vertical="center"/>
    </xf>
    <xf numFmtId="165" fontId="7" fillId="0" borderId="2" applyFill="0">
      <alignment horizontal="center" vertical="center"/>
    </xf>
    <xf numFmtId="0" fontId="7" fillId="0" borderId="2" applyFill="0">
      <alignment horizontal="center" vertical="center"/>
    </xf>
    <xf numFmtId="0" fontId="7" fillId="0" borderId="2" applyFill="0">
      <alignment horizontal="left" vertical="center" indent="2"/>
    </xf>
  </cellStyleXfs>
  <cellXfs count="7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168" fontId="9" fillId="5" borderId="0" xfId="0" applyNumberFormat="1" applyFont="1" applyFill="1" applyAlignment="1">
      <alignment horizontal="center" vertical="center"/>
    </xf>
    <xf numFmtId="168" fontId="9" fillId="5" borderId="6" xfId="0" applyNumberFormat="1" applyFont="1" applyFill="1" applyBorder="1" applyAlignment="1">
      <alignment horizontal="center" vertical="center"/>
    </xf>
    <xf numFmtId="168" fontId="9" fillId="5" borderId="7" xfId="0" applyNumberFormat="1" applyFont="1" applyFill="1" applyBorder="1" applyAlignment="1">
      <alignment horizontal="center" vertical="center"/>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4" fillId="6" borderId="2" xfId="0" applyNumberFormat="1" applyFont="1" applyFill="1" applyBorder="1" applyAlignment="1">
      <alignment horizontal="center" vertical="center"/>
    </xf>
    <xf numFmtId="9" fontId="4" fillId="2"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7">
      <alignment vertical="top"/>
    </xf>
    <xf numFmtId="0" fontId="7" fillId="6" borderId="2" xfId="11" applyFill="1">
      <alignment horizontal="center" vertical="center"/>
    </xf>
    <xf numFmtId="0" fontId="7" fillId="7" borderId="2" xfId="11" applyFill="1">
      <alignment horizontal="center" vertical="center"/>
    </xf>
    <xf numFmtId="0" fontId="7" fillId="4" borderId="2" xfId="11" applyFill="1">
      <alignment horizontal="center" vertical="center"/>
    </xf>
    <xf numFmtId="0" fontId="0" fillId="0" borderId="10" xfId="0" applyBorder="1"/>
    <xf numFmtId="0" fontId="21" fillId="0" borderId="0" xfId="0" applyFont="1"/>
    <xf numFmtId="0" fontId="22" fillId="0" borderId="0" xfId="1" applyFont="1" applyProtection="1">
      <alignment vertical="top"/>
    </xf>
    <xf numFmtId="0" fontId="4" fillId="0" borderId="0" xfId="0" applyFont="1" applyAlignment="1">
      <alignment vertical="top"/>
    </xf>
    <xf numFmtId="0" fontId="7" fillId="0" borderId="0" xfId="8">
      <alignment horizontal="right" indent="1"/>
    </xf>
    <xf numFmtId="0" fontId="7" fillId="0" borderId="7" xfId="8" applyBorder="1">
      <alignment horizontal="right" indent="1"/>
    </xf>
    <xf numFmtId="0" fontId="23" fillId="2" borderId="2" xfId="12" applyFont="1" applyFill="1">
      <alignment horizontal="left" vertical="center" indent="2"/>
    </xf>
    <xf numFmtId="0" fontId="23" fillId="2" borderId="2" xfId="11" applyFont="1" applyFill="1">
      <alignment horizontal="center" vertical="center"/>
    </xf>
    <xf numFmtId="0" fontId="23" fillId="3" borderId="2" xfId="12" applyFont="1" applyFill="1">
      <alignment horizontal="left" vertical="center" indent="2"/>
    </xf>
    <xf numFmtId="0" fontId="23" fillId="8" borderId="2" xfId="12" applyFont="1" applyFill="1">
      <alignment horizontal="left" vertical="center" indent="2"/>
    </xf>
    <xf numFmtId="165" fontId="23" fillId="2" borderId="2" xfId="10" applyFont="1" applyFill="1">
      <alignment horizontal="center" vertical="center"/>
    </xf>
    <xf numFmtId="0" fontId="23" fillId="11" borderId="11" xfId="0" applyFont="1" applyFill="1" applyBorder="1" applyAlignment="1">
      <alignment horizontal="center" vertical="center"/>
    </xf>
    <xf numFmtId="0" fontId="23" fillId="12" borderId="11" xfId="0" applyFont="1" applyFill="1" applyBorder="1" applyAlignment="1">
      <alignment horizontal="center" vertical="center"/>
    </xf>
    <xf numFmtId="0" fontId="24" fillId="0" borderId="0" xfId="6" applyFont="1"/>
    <xf numFmtId="0" fontId="24" fillId="0" borderId="0" xfId="7" applyFont="1">
      <alignment vertical="top"/>
    </xf>
    <xf numFmtId="0" fontId="7" fillId="0" borderId="0" xfId="8">
      <alignment horizontal="right" indent="1"/>
    </xf>
    <xf numFmtId="0" fontId="7" fillId="0" borderId="7" xfId="8" applyBorder="1">
      <alignment horizontal="right" indent="1"/>
    </xf>
    <xf numFmtId="167" fontId="0" fillId="5" borderId="4" xfId="0" applyNumberFormat="1" applyFill="1" applyBorder="1" applyAlignment="1">
      <alignment horizontal="left" vertical="center" wrapText="1" indent="1"/>
    </xf>
    <xf numFmtId="167" fontId="0" fillId="5" borderId="1" xfId="0" applyNumberFormat="1" applyFill="1" applyBorder="1" applyAlignment="1">
      <alignment horizontal="left" vertical="center" wrapText="1" indent="1"/>
    </xf>
    <xf numFmtId="167" fontId="0" fillId="5" borderId="5" xfId="0" applyNumberFormat="1" applyFill="1" applyBorder="1" applyAlignment="1">
      <alignment horizontal="left" vertical="center" wrapText="1" indent="1"/>
    </xf>
    <xf numFmtId="166" fontId="7" fillId="13" borderId="3" xfId="9" applyFill="1">
      <alignment horizontal="center" vertical="center"/>
    </xf>
    <xf numFmtId="166" fontId="7" fillId="13" borderId="12" xfId="9" applyFill="1" applyBorder="1">
      <alignment horizontal="center" vertical="center"/>
    </xf>
    <xf numFmtId="0" fontId="0" fillId="13" borderId="13" xfId="0" applyFill="1" applyBorder="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41</xdr:col>
      <xdr:colOff>112059</xdr:colOff>
      <xdr:row>13</xdr:row>
      <xdr:rowOff>33539</xdr:rowOff>
    </xdr:from>
    <xdr:to>
      <xdr:col>43</xdr:col>
      <xdr:colOff>73128</xdr:colOff>
      <xdr:row>14</xdr:row>
      <xdr:rowOff>9383</xdr:rowOff>
    </xdr:to>
    <xdr:sp macro="" textlink="">
      <xdr:nvSpPr>
        <xdr:cNvPr id="2" name="Diamond 1">
          <a:extLst>
            <a:ext uri="{FF2B5EF4-FFF2-40B4-BE49-F238E27FC236}">
              <a16:creationId xmlns:a16="http://schemas.microsoft.com/office/drawing/2014/main" id="{E85DECEA-9FE9-82F8-6C6F-357B30ECF32D}"/>
            </a:ext>
          </a:extLst>
        </xdr:cNvPr>
        <xdr:cNvSpPr/>
      </xdr:nvSpPr>
      <xdr:spPr>
        <a:xfrm>
          <a:off x="13323947" y="4426702"/>
          <a:ext cx="298008" cy="358140"/>
        </a:xfrm>
        <a:prstGeom prst="diamond">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W31"/>
  <sheetViews>
    <sheetView showGridLines="0" tabSelected="1" showRuler="0" zoomScale="106" zoomScaleNormal="80" zoomScalePageLayoutView="70" workbookViewId="0">
      <pane ySplit="7" topLeftCell="A9" activePane="bottomLeft" state="frozen"/>
      <selection pane="bottomLeft" activeCell="W31" sqref="W31"/>
    </sheetView>
  </sheetViews>
  <sheetFormatPr baseColWidth="10" defaultColWidth="8.83203125" defaultRowHeight="30" customHeight="1" x14ac:dyDescent="0.2"/>
  <cols>
    <col min="1" max="1" width="2.6640625" style="41" customWidth="1"/>
    <col min="2" max="2" width="41.66406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50" width="2.5" customWidth="1"/>
    <col min="51" max="51" width="2.1640625" customWidth="1"/>
    <col min="52" max="127" width="2.5" customWidth="1"/>
  </cols>
  <sheetData>
    <row r="1" spans="1:127" ht="30" customHeight="1" x14ac:dyDescent="0.35">
      <c r="A1" s="42" t="s">
        <v>25</v>
      </c>
      <c r="B1" s="45" t="s">
        <v>39</v>
      </c>
      <c r="C1" s="1"/>
      <c r="D1" s="2"/>
      <c r="E1" s="4"/>
      <c r="F1" s="30"/>
      <c r="H1" s="2"/>
      <c r="I1" s="51" t="s">
        <v>9</v>
      </c>
    </row>
    <row r="2" spans="1:127" ht="30" customHeight="1" x14ac:dyDescent="0.25">
      <c r="A2" s="41" t="s">
        <v>21</v>
      </c>
      <c r="B2" s="63" t="s">
        <v>38</v>
      </c>
      <c r="I2" s="52" t="s">
        <v>14</v>
      </c>
    </row>
    <row r="3" spans="1:127" ht="30" customHeight="1" x14ac:dyDescent="0.2">
      <c r="A3" s="41" t="s">
        <v>32</v>
      </c>
      <c r="B3" s="64"/>
      <c r="C3" s="65" t="s">
        <v>0</v>
      </c>
      <c r="D3" s="66"/>
      <c r="E3" s="70">
        <v>46057</v>
      </c>
      <c r="F3" s="70"/>
    </row>
    <row r="4" spans="1:127" ht="30" customHeight="1" x14ac:dyDescent="0.2">
      <c r="B4" s="46"/>
      <c r="C4" s="54"/>
      <c r="D4" s="55" t="s">
        <v>37</v>
      </c>
      <c r="E4" s="71">
        <v>46174</v>
      </c>
      <c r="F4" s="72"/>
    </row>
    <row r="5" spans="1:127" ht="30" customHeight="1" x14ac:dyDescent="0.2">
      <c r="A5" s="42" t="s">
        <v>26</v>
      </c>
      <c r="C5" s="65" t="s">
        <v>5</v>
      </c>
      <c r="D5" s="66"/>
      <c r="E5" s="7">
        <v>1</v>
      </c>
      <c r="I5" s="67">
        <f>I6</f>
        <v>46055</v>
      </c>
      <c r="J5" s="68"/>
      <c r="K5" s="68"/>
      <c r="L5" s="68"/>
      <c r="M5" s="68"/>
      <c r="N5" s="68"/>
      <c r="O5" s="69"/>
      <c r="P5" s="67">
        <f>P6</f>
        <v>46062</v>
      </c>
      <c r="Q5" s="68"/>
      <c r="R5" s="68"/>
      <c r="S5" s="68"/>
      <c r="T5" s="68"/>
      <c r="U5" s="68"/>
      <c r="V5" s="69"/>
      <c r="W5" s="67">
        <f>W6</f>
        <v>46069</v>
      </c>
      <c r="X5" s="68"/>
      <c r="Y5" s="68"/>
      <c r="Z5" s="68"/>
      <c r="AA5" s="68"/>
      <c r="AB5" s="68"/>
      <c r="AC5" s="69"/>
      <c r="AD5" s="67">
        <f>AD6</f>
        <v>46076</v>
      </c>
      <c r="AE5" s="68"/>
      <c r="AF5" s="68"/>
      <c r="AG5" s="68"/>
      <c r="AH5" s="68"/>
      <c r="AI5" s="68"/>
      <c r="AJ5" s="69"/>
      <c r="AK5" s="67">
        <f>AK6</f>
        <v>46083</v>
      </c>
      <c r="AL5" s="68"/>
      <c r="AM5" s="68"/>
      <c r="AN5" s="68"/>
      <c r="AO5" s="68"/>
      <c r="AP5" s="68"/>
      <c r="AQ5" s="69"/>
      <c r="AR5" s="67">
        <f>AR6</f>
        <v>46090</v>
      </c>
      <c r="AS5" s="68"/>
      <c r="AT5" s="68"/>
      <c r="AU5" s="68"/>
      <c r="AV5" s="68"/>
      <c r="AW5" s="68"/>
      <c r="AX5" s="69"/>
      <c r="AY5" s="67">
        <f>AY6</f>
        <v>46097</v>
      </c>
      <c r="AZ5" s="68"/>
      <c r="BA5" s="68"/>
      <c r="BB5" s="68"/>
      <c r="BC5" s="68"/>
      <c r="BD5" s="68"/>
      <c r="BE5" s="69"/>
      <c r="BF5" s="67">
        <f>BF6</f>
        <v>46104</v>
      </c>
      <c r="BG5" s="68"/>
      <c r="BH5" s="68"/>
      <c r="BI5" s="68"/>
      <c r="BJ5" s="68"/>
      <c r="BK5" s="68"/>
      <c r="BL5" s="69"/>
      <c r="BM5" s="67">
        <f>BM6</f>
        <v>46111</v>
      </c>
      <c r="BN5" s="68"/>
      <c r="BO5" s="68"/>
      <c r="BP5" s="68"/>
      <c r="BQ5" s="68"/>
      <c r="BR5" s="68"/>
      <c r="BS5" s="69"/>
      <c r="BT5" s="67">
        <f>BT6</f>
        <v>46118</v>
      </c>
      <c r="BU5" s="68"/>
      <c r="BV5" s="68"/>
      <c r="BW5" s="68"/>
      <c r="BX5" s="68"/>
      <c r="BY5" s="68"/>
      <c r="BZ5" s="69"/>
      <c r="CA5" s="67">
        <f>CA6</f>
        <v>46125</v>
      </c>
      <c r="CB5" s="68"/>
      <c r="CC5" s="68"/>
      <c r="CD5" s="68"/>
      <c r="CE5" s="68"/>
      <c r="CF5" s="68"/>
      <c r="CG5" s="69"/>
      <c r="CH5" s="67">
        <f>CH6</f>
        <v>46132</v>
      </c>
      <c r="CI5" s="68"/>
      <c r="CJ5" s="68"/>
      <c r="CK5" s="68"/>
      <c r="CL5" s="68"/>
      <c r="CM5" s="68"/>
      <c r="CN5" s="69"/>
      <c r="CO5" s="67">
        <f>CO6</f>
        <v>46139</v>
      </c>
      <c r="CP5" s="68"/>
      <c r="CQ5" s="68"/>
      <c r="CR5" s="68"/>
      <c r="CS5" s="68"/>
      <c r="CT5" s="68"/>
      <c r="CU5" s="69"/>
      <c r="CV5" s="67">
        <f>CV6</f>
        <v>46146</v>
      </c>
      <c r="CW5" s="68"/>
      <c r="CX5" s="68"/>
      <c r="CY5" s="68"/>
      <c r="CZ5" s="68"/>
      <c r="DA5" s="68"/>
      <c r="DB5" s="69"/>
      <c r="DC5" s="67">
        <f>DC6</f>
        <v>46153</v>
      </c>
      <c r="DD5" s="68"/>
      <c r="DE5" s="68"/>
      <c r="DF5" s="68"/>
      <c r="DG5" s="68"/>
      <c r="DH5" s="68"/>
      <c r="DI5" s="69"/>
      <c r="DJ5" s="67">
        <f>DJ6</f>
        <v>46160</v>
      </c>
      <c r="DK5" s="68"/>
      <c r="DL5" s="68"/>
      <c r="DM5" s="68"/>
      <c r="DN5" s="68"/>
      <c r="DO5" s="68"/>
      <c r="DP5" s="69"/>
      <c r="DQ5" s="67">
        <f>DQ6</f>
        <v>46167</v>
      </c>
      <c r="DR5" s="68"/>
      <c r="DS5" s="68"/>
      <c r="DT5" s="68"/>
      <c r="DU5" s="68"/>
      <c r="DV5" s="68"/>
      <c r="DW5" s="69"/>
    </row>
    <row r="6" spans="1:127" ht="15" customHeight="1" x14ac:dyDescent="0.2">
      <c r="A6" s="42" t="s">
        <v>27</v>
      </c>
      <c r="B6" s="50"/>
      <c r="C6" s="50"/>
      <c r="D6" s="50"/>
      <c r="E6" s="50"/>
      <c r="F6" s="50"/>
      <c r="G6" s="50"/>
      <c r="I6" s="11">
        <f>Project_Start-WEEKDAY(Project_Start,1)+2+7*(Display_Week-1)</f>
        <v>46055</v>
      </c>
      <c r="J6" s="10">
        <f>I6+1</f>
        <v>46056</v>
      </c>
      <c r="K6" s="10">
        <f t="shared" ref="K6:AX6" si="0">J6+1</f>
        <v>46057</v>
      </c>
      <c r="L6" s="10">
        <f t="shared" si="0"/>
        <v>46058</v>
      </c>
      <c r="M6" s="10">
        <f t="shared" si="0"/>
        <v>46059</v>
      </c>
      <c r="N6" s="10">
        <f t="shared" si="0"/>
        <v>46060</v>
      </c>
      <c r="O6" s="12">
        <f t="shared" si="0"/>
        <v>46061</v>
      </c>
      <c r="P6" s="11">
        <f>O6+1</f>
        <v>46062</v>
      </c>
      <c r="Q6" s="10">
        <f>P6+1</f>
        <v>46063</v>
      </c>
      <c r="R6" s="10">
        <f t="shared" si="0"/>
        <v>46064</v>
      </c>
      <c r="S6" s="10">
        <f t="shared" si="0"/>
        <v>46065</v>
      </c>
      <c r="T6" s="10">
        <f t="shared" si="0"/>
        <v>46066</v>
      </c>
      <c r="U6" s="10">
        <f t="shared" si="0"/>
        <v>46067</v>
      </c>
      <c r="V6" s="12">
        <f t="shared" si="0"/>
        <v>46068</v>
      </c>
      <c r="W6" s="11">
        <f>V6+1</f>
        <v>46069</v>
      </c>
      <c r="X6" s="10">
        <f>W6+1</f>
        <v>46070</v>
      </c>
      <c r="Y6" s="10">
        <f t="shared" si="0"/>
        <v>46071</v>
      </c>
      <c r="Z6" s="10">
        <f t="shared" si="0"/>
        <v>46072</v>
      </c>
      <c r="AA6" s="10">
        <f t="shared" si="0"/>
        <v>46073</v>
      </c>
      <c r="AB6" s="10">
        <f t="shared" si="0"/>
        <v>46074</v>
      </c>
      <c r="AC6" s="12">
        <f t="shared" si="0"/>
        <v>46075</v>
      </c>
      <c r="AD6" s="11">
        <f>AC6+1</f>
        <v>46076</v>
      </c>
      <c r="AE6" s="10">
        <f>AD6+1</f>
        <v>46077</v>
      </c>
      <c r="AF6" s="10">
        <f t="shared" si="0"/>
        <v>46078</v>
      </c>
      <c r="AG6" s="10">
        <f t="shared" si="0"/>
        <v>46079</v>
      </c>
      <c r="AH6" s="10">
        <f t="shared" si="0"/>
        <v>46080</v>
      </c>
      <c r="AI6" s="10">
        <f t="shared" si="0"/>
        <v>46081</v>
      </c>
      <c r="AJ6" s="12">
        <f t="shared" si="0"/>
        <v>46082</v>
      </c>
      <c r="AK6" s="11">
        <f>AJ6+1</f>
        <v>46083</v>
      </c>
      <c r="AL6" s="10">
        <f>AK6+1</f>
        <v>46084</v>
      </c>
      <c r="AM6" s="10">
        <f t="shared" si="0"/>
        <v>46085</v>
      </c>
      <c r="AN6" s="10">
        <f t="shared" si="0"/>
        <v>46086</v>
      </c>
      <c r="AO6" s="10">
        <f t="shared" si="0"/>
        <v>46087</v>
      </c>
      <c r="AP6" s="10">
        <f t="shared" si="0"/>
        <v>46088</v>
      </c>
      <c r="AQ6" s="12">
        <f t="shared" si="0"/>
        <v>46089</v>
      </c>
      <c r="AR6" s="11">
        <f>AQ6+1</f>
        <v>46090</v>
      </c>
      <c r="AS6" s="10">
        <f>AR6+1</f>
        <v>46091</v>
      </c>
      <c r="AT6" s="10">
        <f t="shared" si="0"/>
        <v>46092</v>
      </c>
      <c r="AU6" s="10">
        <f t="shared" si="0"/>
        <v>46093</v>
      </c>
      <c r="AV6" s="10">
        <f t="shared" si="0"/>
        <v>46094</v>
      </c>
      <c r="AW6" s="10">
        <f t="shared" si="0"/>
        <v>46095</v>
      </c>
      <c r="AX6" s="12">
        <f t="shared" si="0"/>
        <v>46096</v>
      </c>
      <c r="AY6" s="11">
        <f t="shared" ref="AY6:CD6" si="1">AX6+1</f>
        <v>46097</v>
      </c>
      <c r="AZ6" s="10">
        <f t="shared" si="1"/>
        <v>46098</v>
      </c>
      <c r="BA6" s="10">
        <f t="shared" si="1"/>
        <v>46099</v>
      </c>
      <c r="BB6" s="10">
        <f t="shared" si="1"/>
        <v>46100</v>
      </c>
      <c r="BC6" s="10">
        <f t="shared" si="1"/>
        <v>46101</v>
      </c>
      <c r="BD6" s="10">
        <f t="shared" si="1"/>
        <v>46102</v>
      </c>
      <c r="BE6" s="12">
        <f t="shared" si="1"/>
        <v>46103</v>
      </c>
      <c r="BF6" s="11">
        <f t="shared" si="1"/>
        <v>46104</v>
      </c>
      <c r="BG6" s="10">
        <f t="shared" si="1"/>
        <v>46105</v>
      </c>
      <c r="BH6" s="10">
        <f t="shared" si="1"/>
        <v>46106</v>
      </c>
      <c r="BI6" s="10">
        <f t="shared" si="1"/>
        <v>46107</v>
      </c>
      <c r="BJ6" s="10">
        <f t="shared" si="1"/>
        <v>46108</v>
      </c>
      <c r="BK6" s="10">
        <f t="shared" si="1"/>
        <v>46109</v>
      </c>
      <c r="BL6" s="12">
        <f t="shared" si="1"/>
        <v>46110</v>
      </c>
      <c r="BM6" s="11">
        <f t="shared" si="1"/>
        <v>46111</v>
      </c>
      <c r="BN6" s="10">
        <f t="shared" si="1"/>
        <v>46112</v>
      </c>
      <c r="BO6" s="10">
        <f t="shared" si="1"/>
        <v>46113</v>
      </c>
      <c r="BP6" s="10">
        <f t="shared" si="1"/>
        <v>46114</v>
      </c>
      <c r="BQ6" s="10">
        <f t="shared" si="1"/>
        <v>46115</v>
      </c>
      <c r="BR6" s="10">
        <f t="shared" si="1"/>
        <v>46116</v>
      </c>
      <c r="BS6" s="12">
        <f t="shared" si="1"/>
        <v>46117</v>
      </c>
      <c r="BT6" s="11">
        <f t="shared" si="1"/>
        <v>46118</v>
      </c>
      <c r="BU6" s="10">
        <f t="shared" si="1"/>
        <v>46119</v>
      </c>
      <c r="BV6" s="10">
        <f t="shared" si="1"/>
        <v>46120</v>
      </c>
      <c r="BW6" s="10">
        <f t="shared" si="1"/>
        <v>46121</v>
      </c>
      <c r="BX6" s="10">
        <f t="shared" si="1"/>
        <v>46122</v>
      </c>
      <c r="BY6" s="10">
        <f t="shared" si="1"/>
        <v>46123</v>
      </c>
      <c r="BZ6" s="12">
        <f t="shared" si="1"/>
        <v>46124</v>
      </c>
      <c r="CA6" s="11">
        <f t="shared" si="1"/>
        <v>46125</v>
      </c>
      <c r="CB6" s="10">
        <f t="shared" si="1"/>
        <v>46126</v>
      </c>
      <c r="CC6" s="10">
        <f t="shared" si="1"/>
        <v>46127</v>
      </c>
      <c r="CD6" s="10">
        <f t="shared" si="1"/>
        <v>46128</v>
      </c>
      <c r="CE6" s="10">
        <f t="shared" ref="CE6:DJ6" si="2">CD6+1</f>
        <v>46129</v>
      </c>
      <c r="CF6" s="10">
        <f t="shared" si="2"/>
        <v>46130</v>
      </c>
      <c r="CG6" s="12">
        <f t="shared" si="2"/>
        <v>46131</v>
      </c>
      <c r="CH6" s="11">
        <f t="shared" si="2"/>
        <v>46132</v>
      </c>
      <c r="CI6" s="10">
        <f t="shared" si="2"/>
        <v>46133</v>
      </c>
      <c r="CJ6" s="10">
        <f t="shared" si="2"/>
        <v>46134</v>
      </c>
      <c r="CK6" s="10">
        <f t="shared" si="2"/>
        <v>46135</v>
      </c>
      <c r="CL6" s="10">
        <f t="shared" si="2"/>
        <v>46136</v>
      </c>
      <c r="CM6" s="10">
        <f t="shared" si="2"/>
        <v>46137</v>
      </c>
      <c r="CN6" s="12">
        <f t="shared" si="2"/>
        <v>46138</v>
      </c>
      <c r="CO6" s="11">
        <f t="shared" si="2"/>
        <v>46139</v>
      </c>
      <c r="CP6" s="10">
        <f t="shared" si="2"/>
        <v>46140</v>
      </c>
      <c r="CQ6" s="10">
        <f t="shared" si="2"/>
        <v>46141</v>
      </c>
      <c r="CR6" s="10">
        <f t="shared" si="2"/>
        <v>46142</v>
      </c>
      <c r="CS6" s="10">
        <f t="shared" si="2"/>
        <v>46143</v>
      </c>
      <c r="CT6" s="10">
        <f t="shared" si="2"/>
        <v>46144</v>
      </c>
      <c r="CU6" s="12">
        <f t="shared" si="2"/>
        <v>46145</v>
      </c>
      <c r="CV6" s="11">
        <f t="shared" si="2"/>
        <v>46146</v>
      </c>
      <c r="CW6" s="10">
        <f t="shared" si="2"/>
        <v>46147</v>
      </c>
      <c r="CX6" s="10">
        <f t="shared" si="2"/>
        <v>46148</v>
      </c>
      <c r="CY6" s="10">
        <f t="shared" si="2"/>
        <v>46149</v>
      </c>
      <c r="CZ6" s="10">
        <f t="shared" si="2"/>
        <v>46150</v>
      </c>
      <c r="DA6" s="10">
        <f t="shared" si="2"/>
        <v>46151</v>
      </c>
      <c r="DB6" s="12">
        <f t="shared" si="2"/>
        <v>46152</v>
      </c>
      <c r="DC6" s="11">
        <f t="shared" si="2"/>
        <v>46153</v>
      </c>
      <c r="DD6" s="10">
        <f t="shared" si="2"/>
        <v>46154</v>
      </c>
      <c r="DE6" s="10">
        <f t="shared" si="2"/>
        <v>46155</v>
      </c>
      <c r="DF6" s="10">
        <f t="shared" si="2"/>
        <v>46156</v>
      </c>
      <c r="DG6" s="10">
        <f t="shared" si="2"/>
        <v>46157</v>
      </c>
      <c r="DH6" s="10">
        <f t="shared" si="2"/>
        <v>46158</v>
      </c>
      <c r="DI6" s="12">
        <f t="shared" si="2"/>
        <v>46159</v>
      </c>
      <c r="DJ6" s="11">
        <f t="shared" si="2"/>
        <v>46160</v>
      </c>
      <c r="DK6" s="10">
        <f t="shared" ref="DK6:DW6" si="3">DJ6+1</f>
        <v>46161</v>
      </c>
      <c r="DL6" s="10">
        <f t="shared" si="3"/>
        <v>46162</v>
      </c>
      <c r="DM6" s="10">
        <f t="shared" si="3"/>
        <v>46163</v>
      </c>
      <c r="DN6" s="10">
        <f t="shared" si="3"/>
        <v>46164</v>
      </c>
      <c r="DO6" s="10">
        <f t="shared" si="3"/>
        <v>46165</v>
      </c>
      <c r="DP6" s="12">
        <f t="shared" si="3"/>
        <v>46166</v>
      </c>
      <c r="DQ6" s="11">
        <f t="shared" si="3"/>
        <v>46167</v>
      </c>
      <c r="DR6" s="10">
        <f t="shared" si="3"/>
        <v>46168</v>
      </c>
      <c r="DS6" s="10">
        <f t="shared" si="3"/>
        <v>46169</v>
      </c>
      <c r="DT6" s="10">
        <f t="shared" si="3"/>
        <v>46170</v>
      </c>
      <c r="DU6" s="10">
        <f t="shared" si="3"/>
        <v>46171</v>
      </c>
      <c r="DV6" s="10">
        <f t="shared" si="3"/>
        <v>46172</v>
      </c>
      <c r="DW6" s="12">
        <f t="shared" si="3"/>
        <v>46173</v>
      </c>
    </row>
    <row r="7" spans="1:127" ht="30" customHeight="1" thickBot="1" x14ac:dyDescent="0.25">
      <c r="A7" s="42" t="s">
        <v>28</v>
      </c>
      <c r="B7" s="8" t="s">
        <v>6</v>
      </c>
      <c r="C7" s="9" t="s">
        <v>36</v>
      </c>
      <c r="D7" s="9" t="s">
        <v>35</v>
      </c>
      <c r="E7" s="9" t="s">
        <v>2</v>
      </c>
      <c r="F7" s="9" t="s">
        <v>3</v>
      </c>
      <c r="G7" s="9"/>
      <c r="H7" s="9" t="s">
        <v>4</v>
      </c>
      <c r="I7" s="13" t="str">
        <f>LEFT(TEXT(I6,"ddd"),1)</f>
        <v>p</v>
      </c>
      <c r="J7" s="13" t="str">
        <f t="shared" ref="J7:AR7" si="4">LEFT(TEXT(J6,"ddd"),1)</f>
        <v>a</v>
      </c>
      <c r="K7" s="13" t="str">
        <f t="shared" si="4"/>
        <v>t</v>
      </c>
      <c r="L7" s="13" t="str">
        <f t="shared" si="4"/>
        <v>k</v>
      </c>
      <c r="M7" s="13" t="str">
        <f t="shared" si="4"/>
        <v>p</v>
      </c>
      <c r="N7" s="13" t="str">
        <f t="shared" si="4"/>
        <v>š</v>
      </c>
      <c r="O7" s="13" t="str">
        <f t="shared" si="4"/>
        <v>s</v>
      </c>
      <c r="P7" s="13" t="str">
        <f t="shared" si="4"/>
        <v>p</v>
      </c>
      <c r="Q7" s="13" t="str">
        <f t="shared" si="4"/>
        <v>a</v>
      </c>
      <c r="R7" s="13" t="str">
        <f t="shared" si="4"/>
        <v>t</v>
      </c>
      <c r="S7" s="13" t="str">
        <f t="shared" si="4"/>
        <v>k</v>
      </c>
      <c r="T7" s="13" t="str">
        <f t="shared" si="4"/>
        <v>p</v>
      </c>
      <c r="U7" s="13" t="str">
        <f t="shared" si="4"/>
        <v>š</v>
      </c>
      <c r="V7" s="13" t="str">
        <f t="shared" si="4"/>
        <v>s</v>
      </c>
      <c r="W7" s="13" t="str">
        <f t="shared" si="4"/>
        <v>p</v>
      </c>
      <c r="X7" s="13" t="str">
        <f t="shared" si="4"/>
        <v>a</v>
      </c>
      <c r="Y7" s="13" t="str">
        <f t="shared" si="4"/>
        <v>t</v>
      </c>
      <c r="Z7" s="13" t="str">
        <f t="shared" si="4"/>
        <v>k</v>
      </c>
      <c r="AA7" s="13" t="str">
        <f t="shared" si="4"/>
        <v>p</v>
      </c>
      <c r="AB7" s="13" t="str">
        <f t="shared" si="4"/>
        <v>š</v>
      </c>
      <c r="AC7" s="13" t="str">
        <f t="shared" si="4"/>
        <v>s</v>
      </c>
      <c r="AD7" s="13" t="str">
        <f t="shared" si="4"/>
        <v>p</v>
      </c>
      <c r="AE7" s="13" t="str">
        <f t="shared" si="4"/>
        <v>a</v>
      </c>
      <c r="AF7" s="13" t="str">
        <f t="shared" si="4"/>
        <v>t</v>
      </c>
      <c r="AG7" s="13" t="str">
        <f t="shared" si="4"/>
        <v>k</v>
      </c>
      <c r="AH7" s="13" t="str">
        <f t="shared" si="4"/>
        <v>p</v>
      </c>
      <c r="AI7" s="13" t="str">
        <f t="shared" si="4"/>
        <v>š</v>
      </c>
      <c r="AJ7" s="13" t="str">
        <f t="shared" si="4"/>
        <v>s</v>
      </c>
      <c r="AK7" s="13" t="str">
        <f t="shared" si="4"/>
        <v>p</v>
      </c>
      <c r="AL7" s="13" t="str">
        <f t="shared" si="4"/>
        <v>a</v>
      </c>
      <c r="AM7" s="13" t="str">
        <f t="shared" si="4"/>
        <v>t</v>
      </c>
      <c r="AN7" s="13" t="str">
        <f t="shared" si="4"/>
        <v>k</v>
      </c>
      <c r="AO7" s="13" t="str">
        <f t="shared" si="4"/>
        <v>p</v>
      </c>
      <c r="AP7" s="13" t="str">
        <f t="shared" si="4"/>
        <v>š</v>
      </c>
      <c r="AQ7" s="13" t="str">
        <f t="shared" si="4"/>
        <v>s</v>
      </c>
      <c r="AR7" s="13" t="str">
        <f t="shared" si="4"/>
        <v>p</v>
      </c>
      <c r="AS7" s="13" t="str">
        <f t="shared" ref="AS7:BL7" si="5">LEFT(TEXT(AS6,"ddd"),1)</f>
        <v>a</v>
      </c>
      <c r="AT7" s="13" t="str">
        <f t="shared" si="5"/>
        <v>t</v>
      </c>
      <c r="AU7" s="13" t="str">
        <f t="shared" si="5"/>
        <v>k</v>
      </c>
      <c r="AV7" s="13" t="str">
        <f t="shared" si="5"/>
        <v>p</v>
      </c>
      <c r="AW7" s="13" t="str">
        <f t="shared" si="5"/>
        <v>š</v>
      </c>
      <c r="AX7" s="13" t="str">
        <f t="shared" si="5"/>
        <v>s</v>
      </c>
      <c r="AY7" s="13" t="str">
        <f t="shared" si="5"/>
        <v>p</v>
      </c>
      <c r="AZ7" s="13" t="str">
        <f t="shared" si="5"/>
        <v>a</v>
      </c>
      <c r="BA7" s="13" t="str">
        <f t="shared" si="5"/>
        <v>t</v>
      </c>
      <c r="BB7" s="13" t="str">
        <f t="shared" si="5"/>
        <v>k</v>
      </c>
      <c r="BC7" s="13" t="str">
        <f t="shared" si="5"/>
        <v>p</v>
      </c>
      <c r="BD7" s="13" t="str">
        <f t="shared" si="5"/>
        <v>š</v>
      </c>
      <c r="BE7" s="13" t="str">
        <f t="shared" si="5"/>
        <v>s</v>
      </c>
      <c r="BF7" s="13" t="str">
        <f t="shared" si="5"/>
        <v>p</v>
      </c>
      <c r="BG7" s="13" t="str">
        <f t="shared" si="5"/>
        <v>a</v>
      </c>
      <c r="BH7" s="13" t="str">
        <f t="shared" si="5"/>
        <v>t</v>
      </c>
      <c r="BI7" s="13" t="str">
        <f t="shared" si="5"/>
        <v>k</v>
      </c>
      <c r="BJ7" s="13" t="str">
        <f t="shared" si="5"/>
        <v>p</v>
      </c>
      <c r="BK7" s="13" t="str">
        <f t="shared" si="5"/>
        <v>š</v>
      </c>
      <c r="BL7" s="13" t="str">
        <f t="shared" si="5"/>
        <v>s</v>
      </c>
      <c r="BM7" s="13" t="str">
        <f t="shared" ref="BM7:BS7" si="6">LEFT(TEXT(BM6,"ddd"),1)</f>
        <v>p</v>
      </c>
      <c r="BN7" s="13" t="str">
        <f t="shared" si="6"/>
        <v>a</v>
      </c>
      <c r="BO7" s="13" t="str">
        <f t="shared" si="6"/>
        <v>t</v>
      </c>
      <c r="BP7" s="13" t="str">
        <f t="shared" si="6"/>
        <v>k</v>
      </c>
      <c r="BQ7" s="13" t="str">
        <f t="shared" si="6"/>
        <v>p</v>
      </c>
      <c r="BR7" s="13" t="str">
        <f t="shared" si="6"/>
        <v>š</v>
      </c>
      <c r="BS7" s="13" t="str">
        <f t="shared" si="6"/>
        <v>s</v>
      </c>
      <c r="BT7" s="13" t="str">
        <f t="shared" ref="BT7:DW7" si="7">LEFT(TEXT(BT6,"ddd"),1)</f>
        <v>p</v>
      </c>
      <c r="BU7" s="13" t="str">
        <f t="shared" si="7"/>
        <v>a</v>
      </c>
      <c r="BV7" s="13" t="str">
        <f t="shared" si="7"/>
        <v>t</v>
      </c>
      <c r="BW7" s="13" t="str">
        <f t="shared" si="7"/>
        <v>k</v>
      </c>
      <c r="BX7" s="13" t="str">
        <f t="shared" si="7"/>
        <v>p</v>
      </c>
      <c r="BY7" s="13" t="str">
        <f t="shared" si="7"/>
        <v>š</v>
      </c>
      <c r="BZ7" s="13" t="str">
        <f t="shared" si="7"/>
        <v>s</v>
      </c>
      <c r="CA7" s="13" t="str">
        <f t="shared" si="7"/>
        <v>p</v>
      </c>
      <c r="CB7" s="13" t="str">
        <f t="shared" si="7"/>
        <v>a</v>
      </c>
      <c r="CC7" s="13" t="str">
        <f t="shared" si="7"/>
        <v>t</v>
      </c>
      <c r="CD7" s="13" t="str">
        <f t="shared" si="7"/>
        <v>k</v>
      </c>
      <c r="CE7" s="13" t="str">
        <f t="shared" si="7"/>
        <v>p</v>
      </c>
      <c r="CF7" s="13" t="str">
        <f t="shared" si="7"/>
        <v>š</v>
      </c>
      <c r="CG7" s="13" t="str">
        <f t="shared" si="7"/>
        <v>s</v>
      </c>
      <c r="CH7" s="13" t="str">
        <f t="shared" si="7"/>
        <v>p</v>
      </c>
      <c r="CI7" s="13" t="str">
        <f t="shared" si="7"/>
        <v>a</v>
      </c>
      <c r="CJ7" s="13" t="str">
        <f t="shared" si="7"/>
        <v>t</v>
      </c>
      <c r="CK7" s="13" t="str">
        <f t="shared" si="7"/>
        <v>k</v>
      </c>
      <c r="CL7" s="13" t="str">
        <f t="shared" si="7"/>
        <v>p</v>
      </c>
      <c r="CM7" s="13" t="str">
        <f t="shared" si="7"/>
        <v>š</v>
      </c>
      <c r="CN7" s="13" t="str">
        <f t="shared" si="7"/>
        <v>s</v>
      </c>
      <c r="CO7" s="13" t="str">
        <f t="shared" si="7"/>
        <v>p</v>
      </c>
      <c r="CP7" s="13" t="str">
        <f t="shared" si="7"/>
        <v>a</v>
      </c>
      <c r="CQ7" s="13" t="str">
        <f t="shared" si="7"/>
        <v>t</v>
      </c>
      <c r="CR7" s="13" t="str">
        <f t="shared" si="7"/>
        <v>k</v>
      </c>
      <c r="CS7" s="13" t="str">
        <f t="shared" si="7"/>
        <v>p</v>
      </c>
      <c r="CT7" s="13" t="str">
        <f t="shared" si="7"/>
        <v>š</v>
      </c>
      <c r="CU7" s="13" t="str">
        <f t="shared" si="7"/>
        <v>s</v>
      </c>
      <c r="CV7" s="13" t="str">
        <f t="shared" si="7"/>
        <v>p</v>
      </c>
      <c r="CW7" s="13" t="str">
        <f t="shared" si="7"/>
        <v>a</v>
      </c>
      <c r="CX7" s="13" t="str">
        <f t="shared" si="7"/>
        <v>t</v>
      </c>
      <c r="CY7" s="13" t="str">
        <f t="shared" si="7"/>
        <v>k</v>
      </c>
      <c r="CZ7" s="13" t="str">
        <f t="shared" si="7"/>
        <v>p</v>
      </c>
      <c r="DA7" s="13" t="str">
        <f t="shared" si="7"/>
        <v>š</v>
      </c>
      <c r="DB7" s="13" t="str">
        <f t="shared" si="7"/>
        <v>s</v>
      </c>
      <c r="DC7" s="13" t="str">
        <f t="shared" si="7"/>
        <v>p</v>
      </c>
      <c r="DD7" s="13" t="str">
        <f t="shared" si="7"/>
        <v>a</v>
      </c>
      <c r="DE7" s="13" t="str">
        <f t="shared" si="7"/>
        <v>t</v>
      </c>
      <c r="DF7" s="13" t="str">
        <f t="shared" si="7"/>
        <v>k</v>
      </c>
      <c r="DG7" s="13" t="str">
        <f t="shared" si="7"/>
        <v>p</v>
      </c>
      <c r="DH7" s="13" t="str">
        <f t="shared" si="7"/>
        <v>š</v>
      </c>
      <c r="DI7" s="13" t="str">
        <f t="shared" si="7"/>
        <v>s</v>
      </c>
      <c r="DJ7" s="13" t="str">
        <f t="shared" si="7"/>
        <v>p</v>
      </c>
      <c r="DK7" s="13" t="str">
        <f t="shared" si="7"/>
        <v>a</v>
      </c>
      <c r="DL7" s="13" t="str">
        <f t="shared" si="7"/>
        <v>t</v>
      </c>
      <c r="DM7" s="13" t="str">
        <f t="shared" si="7"/>
        <v>k</v>
      </c>
      <c r="DN7" s="13" t="str">
        <f t="shared" si="7"/>
        <v>p</v>
      </c>
      <c r="DO7" s="13" t="str">
        <f t="shared" si="7"/>
        <v>š</v>
      </c>
      <c r="DP7" s="13" t="str">
        <f t="shared" si="7"/>
        <v>s</v>
      </c>
      <c r="DQ7" s="13" t="str">
        <f t="shared" si="7"/>
        <v>p</v>
      </c>
      <c r="DR7" s="13" t="str">
        <f t="shared" si="7"/>
        <v>a</v>
      </c>
      <c r="DS7" s="13" t="str">
        <f t="shared" si="7"/>
        <v>t</v>
      </c>
      <c r="DT7" s="13" t="str">
        <f t="shared" si="7"/>
        <v>k</v>
      </c>
      <c r="DU7" s="13" t="str">
        <f t="shared" si="7"/>
        <v>p</v>
      </c>
      <c r="DV7" s="13" t="str">
        <f t="shared" si="7"/>
        <v>š</v>
      </c>
      <c r="DW7" s="13" t="str">
        <f t="shared" si="7"/>
        <v>s</v>
      </c>
    </row>
    <row r="8" spans="1:127" ht="30" hidden="1" customHeight="1" thickBot="1" x14ac:dyDescent="0.25">
      <c r="A8" s="41" t="s">
        <v>33</v>
      </c>
      <c r="C8" s="44"/>
      <c r="E8"/>
      <c r="H8" t="str">
        <f>IF(OR(ISBLANK(task_start),ISBLANK(task_end)),"",task_end-task_start+1)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row>
    <row r="9" spans="1:127" s="3" customFormat="1" ht="30" customHeight="1" thickBot="1" x14ac:dyDescent="0.25">
      <c r="A9" s="42" t="s">
        <v>29</v>
      </c>
      <c r="B9" s="17" t="s">
        <v>49</v>
      </c>
      <c r="C9" s="47"/>
      <c r="D9" s="18"/>
      <c r="E9" s="19"/>
      <c r="F9" s="20"/>
      <c r="G9" s="16"/>
      <c r="H9" s="16" t="str">
        <f t="shared" ref="H9:H28" si="8">IF(OR(ISBLANK(task_start),ISBLANK(task_end)),"",task_end-task_start+1)</f>
        <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row>
    <row r="10" spans="1:127" s="3" customFormat="1" ht="30" customHeight="1" thickBot="1" x14ac:dyDescent="0.25">
      <c r="A10" s="42" t="s">
        <v>34</v>
      </c>
      <c r="B10" s="56" t="s">
        <v>45</v>
      </c>
      <c r="C10" s="57" t="s">
        <v>40</v>
      </c>
      <c r="D10" s="21">
        <v>0</v>
      </c>
      <c r="E10" s="60">
        <f>Project_Start+25</f>
        <v>46082</v>
      </c>
      <c r="F10" s="60">
        <f>E10+7</f>
        <v>46089</v>
      </c>
      <c r="G10" s="16"/>
      <c r="H10" s="16">
        <f t="shared" si="8"/>
        <v>8</v>
      </c>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row>
    <row r="11" spans="1:127" s="3" customFormat="1" ht="30" customHeight="1" thickBot="1" x14ac:dyDescent="0.25">
      <c r="A11" s="42" t="s">
        <v>30</v>
      </c>
      <c r="B11" s="56" t="s">
        <v>47</v>
      </c>
      <c r="C11" s="57" t="s">
        <v>40</v>
      </c>
      <c r="D11" s="21">
        <v>0</v>
      </c>
      <c r="E11" s="60">
        <f>Project_Start</f>
        <v>46057</v>
      </c>
      <c r="F11" s="60">
        <f>E11+32</f>
        <v>46089</v>
      </c>
      <c r="G11" s="16"/>
      <c r="H11" s="16">
        <f t="shared" si="8"/>
        <v>33</v>
      </c>
      <c r="I11" s="28"/>
      <c r="J11" s="28"/>
      <c r="K11" s="28"/>
      <c r="L11" s="28"/>
      <c r="M11" s="28"/>
      <c r="N11" s="28"/>
      <c r="O11" s="28"/>
      <c r="P11" s="28"/>
      <c r="Q11" s="28"/>
      <c r="R11" s="28"/>
      <c r="S11" s="28"/>
      <c r="T11" s="28"/>
      <c r="U11" s="29"/>
      <c r="V11" s="29"/>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row>
    <row r="12" spans="1:127" s="3" customFormat="1" ht="30" customHeight="1" thickBot="1" x14ac:dyDescent="0.25">
      <c r="A12" s="41"/>
      <c r="B12" s="56" t="s">
        <v>48</v>
      </c>
      <c r="C12" s="57" t="s">
        <v>62</v>
      </c>
      <c r="D12" s="21">
        <v>0</v>
      </c>
      <c r="E12" s="60">
        <f>Project_Start+9</f>
        <v>46066</v>
      </c>
      <c r="F12" s="60">
        <f>E12+9</f>
        <v>46075</v>
      </c>
      <c r="G12" s="16"/>
      <c r="H12" s="16">
        <f t="shared" si="8"/>
        <v>10</v>
      </c>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row>
    <row r="13" spans="1:127" s="3" customFormat="1" ht="30" customHeight="1" thickBot="1" x14ac:dyDescent="0.25">
      <c r="A13" s="41"/>
      <c r="B13" s="56" t="s">
        <v>46</v>
      </c>
      <c r="C13" s="57" t="s">
        <v>40</v>
      </c>
      <c r="D13" s="21">
        <v>0</v>
      </c>
      <c r="E13" s="60">
        <f>Project_Start+22</f>
        <v>46079</v>
      </c>
      <c r="F13" s="60">
        <f>E13+3</f>
        <v>46082</v>
      </c>
      <c r="G13" s="16"/>
      <c r="H13" s="16">
        <f t="shared" si="8"/>
        <v>4</v>
      </c>
      <c r="I13" s="28"/>
      <c r="J13" s="28"/>
      <c r="K13" s="28"/>
      <c r="L13" s="28"/>
      <c r="M13" s="28"/>
      <c r="N13" s="28"/>
      <c r="O13" s="28"/>
      <c r="P13" s="28"/>
      <c r="Q13" s="28"/>
      <c r="R13" s="28"/>
      <c r="S13" s="28"/>
      <c r="T13" s="28"/>
      <c r="U13" s="28"/>
      <c r="V13" s="28"/>
      <c r="W13" s="28"/>
      <c r="X13" s="28"/>
      <c r="Y13" s="29"/>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row>
    <row r="14" spans="1:127" s="3" customFormat="1" ht="30" customHeight="1" thickBot="1" x14ac:dyDescent="0.25">
      <c r="A14" s="41"/>
      <c r="B14" s="56" t="s">
        <v>44</v>
      </c>
      <c r="C14" s="57" t="s">
        <v>61</v>
      </c>
      <c r="D14" s="21">
        <v>0</v>
      </c>
      <c r="E14" s="60">
        <f>Project_Start+9</f>
        <v>46066</v>
      </c>
      <c r="F14" s="60">
        <f>E14+2</f>
        <v>46068</v>
      </c>
      <c r="G14" s="16"/>
      <c r="H14" s="16">
        <f t="shared" si="8"/>
        <v>3</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row>
    <row r="15" spans="1:127" s="3" customFormat="1" ht="30" customHeight="1" thickBot="1" x14ac:dyDescent="0.25">
      <c r="A15" s="42" t="s">
        <v>31</v>
      </c>
      <c r="B15" s="22" t="s">
        <v>50</v>
      </c>
      <c r="C15" s="48"/>
      <c r="D15" s="23"/>
      <c r="E15" s="60"/>
      <c r="F15" s="60"/>
      <c r="G15" s="16"/>
      <c r="H15" s="16" t="str">
        <f t="shared" si="8"/>
        <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row>
    <row r="16" spans="1:127" s="3" customFormat="1" ht="30" customHeight="1" thickBot="1" x14ac:dyDescent="0.25">
      <c r="A16" s="42"/>
      <c r="B16" s="58" t="s">
        <v>51</v>
      </c>
      <c r="C16" s="61" t="s">
        <v>59</v>
      </c>
      <c r="D16" s="24">
        <v>0</v>
      </c>
      <c r="E16" s="60">
        <f>Project_Start+26</f>
        <v>46083</v>
      </c>
      <c r="F16" s="60">
        <f>E16+55</f>
        <v>46138</v>
      </c>
      <c r="G16" s="16"/>
      <c r="H16" s="16">
        <f t="shared" si="8"/>
        <v>56</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row>
    <row r="17" spans="1:127" s="3" customFormat="1" ht="30" customHeight="1" thickBot="1" x14ac:dyDescent="0.25">
      <c r="A17" s="41"/>
      <c r="B17" s="58" t="s">
        <v>52</v>
      </c>
      <c r="C17" s="61" t="s">
        <v>40</v>
      </c>
      <c r="D17" s="24">
        <v>0</v>
      </c>
      <c r="E17" s="60">
        <f>Project_Start+26</f>
        <v>46083</v>
      </c>
      <c r="F17" s="60">
        <f t="shared" ref="F17:F20" si="9">E17+55</f>
        <v>46138</v>
      </c>
      <c r="G17" s="16"/>
      <c r="H17" s="16">
        <f t="shared" si="8"/>
        <v>56</v>
      </c>
      <c r="I17" s="28"/>
      <c r="J17" s="28"/>
      <c r="K17" s="28"/>
      <c r="L17" s="28"/>
      <c r="M17" s="28"/>
      <c r="N17" s="28"/>
      <c r="O17" s="28"/>
      <c r="P17" s="28"/>
      <c r="Q17" s="28"/>
      <c r="R17" s="28"/>
      <c r="S17" s="28"/>
      <c r="T17" s="28"/>
      <c r="U17" s="29"/>
      <c r="V17" s="29"/>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row>
    <row r="18" spans="1:127" s="3" customFormat="1" ht="30" customHeight="1" thickBot="1" x14ac:dyDescent="0.25">
      <c r="A18" s="41"/>
      <c r="B18" s="58" t="s">
        <v>53</v>
      </c>
      <c r="C18" s="61" t="s">
        <v>40</v>
      </c>
      <c r="D18" s="24">
        <v>0</v>
      </c>
      <c r="E18" s="60">
        <f>Project_Start+26</f>
        <v>46083</v>
      </c>
      <c r="F18" s="60">
        <f t="shared" si="9"/>
        <v>46138</v>
      </c>
      <c r="G18" s="16"/>
      <c r="H18" s="16">
        <f t="shared" si="8"/>
        <v>56</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row>
    <row r="19" spans="1:127" s="3" customFormat="1" ht="30" customHeight="1" thickBot="1" x14ac:dyDescent="0.25">
      <c r="A19" s="41"/>
      <c r="B19" s="58" t="s">
        <v>54</v>
      </c>
      <c r="C19" s="61" t="s">
        <v>61</v>
      </c>
      <c r="D19" s="24">
        <v>0</v>
      </c>
      <c r="E19" s="60">
        <f>Project_Start+26</f>
        <v>46083</v>
      </c>
      <c r="F19" s="60">
        <f t="shared" si="9"/>
        <v>46138</v>
      </c>
      <c r="G19" s="16"/>
      <c r="H19" s="16">
        <f t="shared" si="8"/>
        <v>56</v>
      </c>
      <c r="I19" s="28"/>
      <c r="J19" s="28"/>
      <c r="K19" s="28"/>
      <c r="L19" s="28"/>
      <c r="M19" s="28"/>
      <c r="N19" s="28"/>
      <c r="O19" s="28"/>
      <c r="P19" s="28"/>
      <c r="Q19" s="28"/>
      <c r="R19" s="28"/>
      <c r="S19" s="28"/>
      <c r="T19" s="28"/>
      <c r="U19" s="28"/>
      <c r="V19" s="28"/>
      <c r="W19" s="28"/>
      <c r="X19" s="28"/>
      <c r="Y19" s="29"/>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row>
    <row r="20" spans="1:127" s="3" customFormat="1" ht="30" customHeight="1" thickBot="1" x14ac:dyDescent="0.25">
      <c r="A20" s="41"/>
      <c r="B20" s="58" t="s">
        <v>55</v>
      </c>
      <c r="C20" s="61" t="s">
        <v>60</v>
      </c>
      <c r="D20" s="24">
        <v>0</v>
      </c>
      <c r="E20" s="60">
        <f>Project_Start+26</f>
        <v>46083</v>
      </c>
      <c r="F20" s="60">
        <f t="shared" si="9"/>
        <v>46138</v>
      </c>
      <c r="G20" s="16"/>
      <c r="H20" s="16">
        <f t="shared" si="8"/>
        <v>56</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row>
    <row r="21" spans="1:127" s="3" customFormat="1" ht="30" customHeight="1" thickBot="1" x14ac:dyDescent="0.25">
      <c r="A21" s="41" t="s">
        <v>22</v>
      </c>
      <c r="B21" s="25" t="s">
        <v>43</v>
      </c>
      <c r="C21" s="49"/>
      <c r="D21" s="26"/>
      <c r="E21" s="60"/>
      <c r="F21" s="60"/>
      <c r="G21" s="16"/>
      <c r="H21" s="16" t="str">
        <f t="shared" si="8"/>
        <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row>
    <row r="22" spans="1:127" s="3" customFormat="1" ht="30" customHeight="1" thickBot="1" x14ac:dyDescent="0.25">
      <c r="A22" s="41"/>
      <c r="B22" s="59" t="s">
        <v>41</v>
      </c>
      <c r="C22" s="62" t="s">
        <v>40</v>
      </c>
      <c r="D22" s="27">
        <v>0</v>
      </c>
      <c r="E22" s="60">
        <f>F20+1</f>
        <v>46139</v>
      </c>
      <c r="F22" s="60">
        <f>E22+14</f>
        <v>46153</v>
      </c>
      <c r="G22" s="16"/>
      <c r="H22" s="16">
        <f t="shared" si="8"/>
        <v>15</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row>
    <row r="23" spans="1:127" s="3" customFormat="1" ht="30" customHeight="1" thickBot="1" x14ac:dyDescent="0.25">
      <c r="A23" s="41"/>
      <c r="B23" s="59" t="s">
        <v>42</v>
      </c>
      <c r="C23" s="62" t="s">
        <v>61</v>
      </c>
      <c r="D23" s="27">
        <v>0</v>
      </c>
      <c r="E23" s="60">
        <f>F22+1</f>
        <v>46154</v>
      </c>
      <c r="F23" s="60">
        <f>E23+3</f>
        <v>46157</v>
      </c>
      <c r="G23" s="16"/>
      <c r="H23" s="16">
        <f t="shared" si="8"/>
        <v>4</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row>
    <row r="24" spans="1:127" s="3" customFormat="1" ht="30" customHeight="1" thickBot="1" x14ac:dyDescent="0.25">
      <c r="A24" s="41"/>
      <c r="B24" s="59" t="s">
        <v>57</v>
      </c>
      <c r="C24" s="62" t="s">
        <v>40</v>
      </c>
      <c r="D24" s="27">
        <v>0</v>
      </c>
      <c r="E24" s="60">
        <f>E23+4</f>
        <v>46158</v>
      </c>
      <c r="F24" s="60">
        <f>E24+16</f>
        <v>46174</v>
      </c>
      <c r="G24" s="16"/>
      <c r="H24" s="16">
        <f t="shared" si="8"/>
        <v>17</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row>
    <row r="25" spans="1:127" s="3" customFormat="1" ht="30" customHeight="1" thickBot="1" x14ac:dyDescent="0.25">
      <c r="A25" s="41"/>
      <c r="B25" s="59" t="s">
        <v>56</v>
      </c>
      <c r="C25" s="62" t="s">
        <v>40</v>
      </c>
      <c r="D25" s="27">
        <v>0</v>
      </c>
      <c r="E25" s="60">
        <f>E24</f>
        <v>46158</v>
      </c>
      <c r="F25" s="60">
        <f>E25+14</f>
        <v>46172</v>
      </c>
      <c r="G25" s="16"/>
      <c r="H25" s="16">
        <f t="shared" si="8"/>
        <v>15</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row>
    <row r="26" spans="1:127" s="3" customFormat="1" ht="30" customHeight="1" thickBot="1" x14ac:dyDescent="0.25">
      <c r="A26" s="41"/>
      <c r="B26" s="59" t="s">
        <v>58</v>
      </c>
      <c r="C26" s="62" t="s">
        <v>40</v>
      </c>
      <c r="D26" s="27">
        <v>0</v>
      </c>
      <c r="E26" s="60">
        <f>F20+1</f>
        <v>46139</v>
      </c>
      <c r="F26" s="60">
        <f>E26+14</f>
        <v>46153</v>
      </c>
      <c r="G26" s="16"/>
      <c r="H26" s="16">
        <f t="shared" si="8"/>
        <v>15</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row>
    <row r="27" spans="1:127" s="3" customFormat="1" ht="30" customHeight="1" x14ac:dyDescent="0.2">
      <c r="A27" s="41" t="s">
        <v>24</v>
      </c>
      <c r="B27" s="5"/>
      <c r="C27" s="5"/>
      <c r="D27" s="5"/>
      <c r="E27" s="5"/>
      <c r="F27" s="5"/>
      <c r="G27" s="5"/>
      <c r="H27" s="5" t="str">
        <f t="shared" si="8"/>
        <v/>
      </c>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row>
    <row r="28" spans="1:127" s="3" customFormat="1" ht="30" customHeight="1" x14ac:dyDescent="0.2">
      <c r="A28" s="42" t="s">
        <v>23</v>
      </c>
      <c r="B28"/>
      <c r="C28"/>
      <c r="D28"/>
      <c r="E28"/>
      <c r="F28"/>
      <c r="G28"/>
      <c r="H28" t="str">
        <f t="shared" si="8"/>
        <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row>
    <row r="29" spans="1:127" ht="30" customHeight="1" x14ac:dyDescent="0.2">
      <c r="G29" s="6"/>
    </row>
    <row r="30" spans="1:127" ht="30" customHeight="1" x14ac:dyDescent="0.2">
      <c r="C30" s="14"/>
      <c r="F30" s="43"/>
    </row>
    <row r="31" spans="1:127" ht="30" customHeight="1" x14ac:dyDescent="0.2">
      <c r="C31" s="15"/>
    </row>
  </sheetData>
  <mergeCells count="21">
    <mergeCell ref="DQ5:DW5"/>
    <mergeCell ref="E4:F4"/>
    <mergeCell ref="BM5:BS5"/>
    <mergeCell ref="BT5:BZ5"/>
    <mergeCell ref="CA5:CG5"/>
    <mergeCell ref="CH5:CN5"/>
    <mergeCell ref="CO5:CU5"/>
    <mergeCell ref="CV5:DB5"/>
    <mergeCell ref="DC5:DI5"/>
    <mergeCell ref="DJ5:DP5"/>
    <mergeCell ref="BF5:BL5"/>
    <mergeCell ref="C3:D3"/>
    <mergeCell ref="C5:D5"/>
    <mergeCell ref="AK5:AQ5"/>
    <mergeCell ref="AR5:AX5"/>
    <mergeCell ref="AY5:BE5"/>
    <mergeCell ref="E3:F3"/>
    <mergeCell ref="I5:O5"/>
    <mergeCell ref="P5:V5"/>
    <mergeCell ref="W5:AC5"/>
    <mergeCell ref="AD5:AJ5"/>
  </mergeCells>
  <conditionalFormatting sqref="D8:D26">
    <cfRule type="dataBar" priority="4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6:DW26">
    <cfRule type="expression" dxfId="2" priority="3">
      <formula>AND(TODAY()&gt;=I$6,TODAY()&lt;J$6)</formula>
    </cfRule>
  </conditionalFormatting>
  <conditionalFormatting sqref="I8:DW26">
    <cfRule type="expression" dxfId="1" priority="1">
      <formula>AND(task_start&lt;=I$6,ROUNDDOWN((task_end-task_start+1)*task_progress,0)+task_start-1&gt;=I$6)</formula>
    </cfRule>
    <cfRule type="expression" dxfId="0" priority="2" stopIfTrue="1">
      <formula>AND(task_end&gt;=I$6,task_start&lt;J$6)</formula>
    </cfRule>
  </conditionalFormatting>
  <dataValidations count="1">
    <dataValidation type="whole" operator="greaterThanOrEqual" allowBlank="1" showInputMessage="1" promptTitle="Display Week" prompt="Changing this number will scroll the Gantt Chart view." sqref="E5"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D8:D26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31" customWidth="1"/>
    <col min="2" max="16384" width="9.1640625" style="2"/>
  </cols>
  <sheetData>
    <row r="1" spans="1:2" ht="46.5" customHeight="1" x14ac:dyDescent="0.2"/>
    <row r="2" spans="1:2" s="33" customFormat="1" ht="16" x14ac:dyDescent="0.2">
      <c r="A2" s="32" t="s">
        <v>9</v>
      </c>
      <c r="B2" s="32"/>
    </row>
    <row r="3" spans="1:2" s="37" customFormat="1" ht="27" customHeight="1" x14ac:dyDescent="0.2">
      <c r="A3" s="53" t="s">
        <v>14</v>
      </c>
      <c r="B3" s="38"/>
    </row>
    <row r="4" spans="1:2" s="34" customFormat="1" ht="26" x14ac:dyDescent="0.3">
      <c r="A4" s="35" t="s">
        <v>8</v>
      </c>
    </row>
    <row r="5" spans="1:2" ht="74.25" customHeight="1" x14ac:dyDescent="0.2">
      <c r="A5" s="36" t="s">
        <v>17</v>
      </c>
    </row>
    <row r="6" spans="1:2" ht="26.25" customHeight="1" x14ac:dyDescent="0.2">
      <c r="A6" s="35" t="s">
        <v>20</v>
      </c>
    </row>
    <row r="7" spans="1:2" s="31" customFormat="1" ht="205" customHeight="1" x14ac:dyDescent="0.2">
      <c r="A7" s="40" t="s">
        <v>19</v>
      </c>
    </row>
    <row r="8" spans="1:2" s="34" customFormat="1" ht="26" x14ac:dyDescent="0.3">
      <c r="A8" s="35" t="s">
        <v>10</v>
      </c>
    </row>
    <row r="9" spans="1:2" ht="48" x14ac:dyDescent="0.2">
      <c r="A9" s="36" t="s">
        <v>18</v>
      </c>
    </row>
    <row r="10" spans="1:2" s="31" customFormat="1" ht="28" customHeight="1" x14ac:dyDescent="0.2">
      <c r="A10" s="39" t="s">
        <v>16</v>
      </c>
    </row>
    <row r="11" spans="1:2" s="34" customFormat="1" ht="26" x14ac:dyDescent="0.3">
      <c r="A11" s="35" t="s">
        <v>7</v>
      </c>
    </row>
    <row r="12" spans="1:2" ht="32" x14ac:dyDescent="0.2">
      <c r="A12" s="36" t="s">
        <v>15</v>
      </c>
    </row>
    <row r="13" spans="1:2" s="31" customFormat="1" ht="28" customHeight="1" x14ac:dyDescent="0.2">
      <c r="A13" s="39" t="s">
        <v>1</v>
      </c>
    </row>
    <row r="14" spans="1:2" s="34" customFormat="1" ht="26" x14ac:dyDescent="0.3">
      <c r="A14" s="35" t="s">
        <v>11</v>
      </c>
    </row>
    <row r="15" spans="1:2" ht="75" customHeight="1" x14ac:dyDescent="0.2">
      <c r="A15" s="36" t="s">
        <v>12</v>
      </c>
    </row>
    <row r="16" spans="1:2" ht="64" x14ac:dyDescent="0.2">
      <c r="A16" s="36" t="s">
        <v>13</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2026-02-13T12:09:55Z</dcterms:modified>
</cp:coreProperties>
</file>